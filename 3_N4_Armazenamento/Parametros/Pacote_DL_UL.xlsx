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Pos-Doc\Frameworks\Artigo\Framework_DL_UL_MQTT_PAR\LoRa_Survey_MQTT_Net_GPS\LoRa_MQTT_Multiple_Nodes\3_N4_Armazenamento\Parametros\"/>
    </mc:Choice>
  </mc:AlternateContent>
  <bookViews>
    <workbookView xWindow="0" yWindow="0" windowWidth="20490" windowHeight="7755" activeTab="3"/>
  </bookViews>
  <sheets>
    <sheet name="20 Bytes" sheetId="1" r:id="rId1"/>
    <sheet name="30 Bytes" sheetId="2" r:id="rId2"/>
    <sheet name="DL20-UL30" sheetId="3" r:id="rId3"/>
    <sheet name="ToA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4" l="1"/>
  <c r="O12" i="4"/>
  <c r="O17" i="4"/>
  <c r="O22" i="4"/>
  <c r="L23" i="1" l="1"/>
  <c r="M22" i="1"/>
  <c r="N22" i="1"/>
  <c r="O22" i="1"/>
  <c r="P22" i="1"/>
  <c r="Q22" i="1"/>
  <c r="R22" i="1"/>
  <c r="L22" i="1"/>
</calcChain>
</file>

<file path=xl/sharedStrings.xml><?xml version="1.0" encoding="utf-8"?>
<sst xmlns="http://schemas.openxmlformats.org/spreadsheetml/2006/main" count="307" uniqueCount="68">
  <si>
    <t>UL_B</t>
  </si>
  <si>
    <t>Posição</t>
  </si>
  <si>
    <t>Pacote_DL</t>
  </si>
  <si>
    <t>RSSI DL</t>
  </si>
  <si>
    <t>SNR_DL</t>
  </si>
  <si>
    <t>RSSI_UL</t>
  </si>
  <si>
    <t>SNR_UL</t>
  </si>
  <si>
    <t>Endereço Remetente - End Device</t>
  </si>
  <si>
    <t>Endereço Destinatário - Gateway</t>
  </si>
  <si>
    <t>Pacote_UL</t>
  </si>
  <si>
    <t>DL_B</t>
  </si>
  <si>
    <t>SF</t>
  </si>
  <si>
    <t>BW</t>
  </si>
  <si>
    <t>CR</t>
  </si>
  <si>
    <t>PTx</t>
  </si>
  <si>
    <t>Cmd LoRa</t>
  </si>
  <si>
    <t>Temp Air</t>
  </si>
  <si>
    <t>Total testes LSB</t>
  </si>
  <si>
    <t>Total testes MSB</t>
  </si>
  <si>
    <t>End Device Address</t>
  </si>
  <si>
    <t>TBD</t>
  </si>
  <si>
    <t>Gateway Address</t>
  </si>
  <si>
    <t>Tipo do Hardware</t>
  </si>
  <si>
    <t>LAT &gt;&gt; 8</t>
  </si>
  <si>
    <t>LAT &gt;&gt; 16</t>
  </si>
  <si>
    <t>LAT &gt;&gt; 124</t>
  </si>
  <si>
    <t>LON &gt;&gt; 124</t>
  </si>
  <si>
    <t>LON &gt;&gt; 16</t>
  </si>
  <si>
    <t>LON &gt;&gt; 8</t>
  </si>
  <si>
    <t>LONGITUDE</t>
  </si>
  <si>
    <t>LATITUDE</t>
  </si>
  <si>
    <t>ALTITUDE</t>
  </si>
  <si>
    <t>ALT &gt;&gt; 8</t>
  </si>
  <si>
    <t>LUM &gt;&gt; 8</t>
  </si>
  <si>
    <t>LUMINOSIDADE</t>
  </si>
  <si>
    <t>ST_LED_AMARELO</t>
  </si>
  <si>
    <t>CMD_LED_AMARELO</t>
  </si>
  <si>
    <t>COUNT_UPLINK</t>
  </si>
  <si>
    <t>COUNT_UPLINK &gt;&gt; 8</t>
  </si>
  <si>
    <t>COUNT_DOWNLINK_LOSS</t>
  </si>
  <si>
    <t>COUNT_DOWNLINK_LOSS &gt;&gt; 8</t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</si>
  <si>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&gt; -</t>
    </r>
    <r>
      <rPr>
        <sz val="11"/>
        <color rgb="FF005C5F"/>
        <rFont val="Consolas"/>
        <family val="3"/>
      </rPr>
      <t>10.5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 // Caso a RSSI medida esteja acima do valor superior -10,5 dBm</t>
    </r>
  </si>
  <si>
    <r>
      <t xml:space="preserve">  </t>
    </r>
    <r>
      <rPr>
        <sz val="11"/>
        <color rgb="FF434F54"/>
        <rFont val="Consolas"/>
        <family val="3"/>
      </rPr>
      <t>{</t>
    </r>
  </si>
  <si>
    <r>
      <t xml:space="preserve">   RSSI_DL = </t>
    </r>
    <r>
      <rPr>
        <sz val="11"/>
        <color rgb="FF005C5F"/>
        <rFont val="Consolas"/>
        <family val="3"/>
      </rPr>
      <t>127</t>
    </r>
    <r>
      <rPr>
        <sz val="11"/>
        <color rgb="FF4E5B61"/>
        <rFont val="Consolas"/>
        <family val="3"/>
      </rPr>
      <t>;</t>
    </r>
    <r>
      <rPr>
        <sz val="11"/>
        <color rgb="FF95A5A6"/>
        <rFont val="Consolas"/>
        <family val="3"/>
      </rPr>
      <t xml:space="preserve"> // equivalente a -10,5 dBm </t>
    </r>
  </si>
  <si>
    <r>
      <t xml:space="preserve">  </t>
    </r>
    <r>
      <rPr>
        <sz val="11"/>
        <color rgb="FF434F54"/>
        <rFont val="Consolas"/>
        <family val="3"/>
      </rPr>
      <t>}</t>
    </r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</si>
  <si>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&lt;= -</t>
    </r>
    <r>
      <rPr>
        <sz val="11"/>
        <color rgb="FF005C5F"/>
        <rFont val="Consolas"/>
        <family val="3"/>
      </rPr>
      <t>10.5</t>
    </r>
    <r>
      <rPr>
        <sz val="11"/>
        <color rgb="FF4E5B61"/>
        <rFont val="Consolas"/>
        <family val="3"/>
      </rPr>
      <t xml:space="preserve"> &amp;&amp; RSSI_dBm_DL &gt;= -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// Caso a RSSI medida esteja no intervalo [-10,5 dBm e -74 dBm]</t>
    </r>
  </si>
  <si>
    <r>
      <t xml:space="preserve">   RSSI_DL = </t>
    </r>
    <r>
      <rPr>
        <sz val="11"/>
        <color rgb="FF434F54"/>
        <rFont val="Consolas"/>
        <family val="3"/>
      </rPr>
      <t>((</t>
    </r>
    <r>
      <rPr>
        <sz val="11"/>
        <color rgb="FF4E5B61"/>
        <rFont val="Consolas"/>
        <family val="3"/>
      </rPr>
      <t>RSSI_dBm_DL +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*</t>
    </r>
    <r>
      <rPr>
        <sz val="11"/>
        <color rgb="FF005C5F"/>
        <rFont val="Consolas"/>
        <family val="3"/>
      </rPr>
      <t>2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 xml:space="preserve"> ;</t>
    </r>
  </si>
  <si>
    <r>
      <t xml:space="preserve">  </t>
    </r>
    <r>
      <rPr>
        <sz val="11"/>
        <color rgb="FF728E00"/>
        <rFont val="Consolas"/>
        <family val="3"/>
      </rPr>
      <t>if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RSSI_dBm_DL &lt; -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95A5A6"/>
        <rFont val="Consolas"/>
        <family val="3"/>
      </rPr>
      <t xml:space="preserve"> // Caso a RSSI medida esteja no intervalo ]-74 dBm e -138 dBm]</t>
    </r>
  </si>
  <si>
    <r>
      <t xml:space="preserve">   RSSI_DL = </t>
    </r>
    <r>
      <rPr>
        <sz val="11"/>
        <color rgb="FF434F54"/>
        <rFont val="Consolas"/>
        <family val="3"/>
      </rPr>
      <t>(((</t>
    </r>
    <r>
      <rPr>
        <sz val="11"/>
        <color rgb="FF4E5B61"/>
        <rFont val="Consolas"/>
        <family val="3"/>
      </rPr>
      <t>RSSI_dBm_DL +</t>
    </r>
    <r>
      <rPr>
        <sz val="11"/>
        <color rgb="FF005C5F"/>
        <rFont val="Consolas"/>
        <family val="3"/>
      </rPr>
      <t>74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*</t>
    </r>
    <r>
      <rPr>
        <sz val="11"/>
        <color rgb="FF005C5F"/>
        <rFont val="Consolas"/>
        <family val="3"/>
      </rPr>
      <t>2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+</t>
    </r>
    <r>
      <rPr>
        <sz val="11"/>
        <color rgb="FF005C5F"/>
        <rFont val="Consolas"/>
        <family val="3"/>
      </rPr>
      <t>256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 xml:space="preserve"> ;</t>
    </r>
  </si>
  <si>
    <t>tMQTT_DL</t>
  </si>
  <si>
    <t>ToA_LoRa_DL_N1</t>
  </si>
  <si>
    <t>ToA_LoRa_UL_N1</t>
  </si>
  <si>
    <t>tMQTT_UL</t>
  </si>
  <si>
    <t>tTot_N1 [ms]</t>
  </si>
  <si>
    <t>[ms]</t>
  </si>
  <si>
    <t>LRC</t>
  </si>
  <si>
    <t>[s]</t>
  </si>
  <si>
    <t>MRC</t>
  </si>
  <si>
    <t>SRC</t>
  </si>
  <si>
    <t>tTot_N2 [ms]</t>
  </si>
  <si>
    <t>ToA_LoRa_DL_N2</t>
  </si>
  <si>
    <t>ToA_LoRa_UL_N2</t>
  </si>
  <si>
    <t>ToA_LoRa_UL_N3</t>
  </si>
  <si>
    <t>ToA_LoRa_DL_N3</t>
  </si>
  <si>
    <t>tTot_N3 [ms]</t>
  </si>
  <si>
    <t>tTot_N4 [ms]</t>
  </si>
  <si>
    <t>ToA_LoRa_DL_N4</t>
  </si>
  <si>
    <t>ToA_LoRa_UL_N4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</si>
</sst>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4E5B61"/>
      <name val="Consolas"/>
      <family val="3"/>
    </font>
    <font>
      <sz val="11"/>
      <color rgb="FF728E00"/>
      <name val="Consolas"/>
      <family val="3"/>
    </font>
    <font>
      <sz val="11"/>
      <color rgb="FF434F54"/>
      <name val="Consolas"/>
      <family val="3"/>
    </font>
    <font>
      <sz val="11"/>
      <color rgb="FF005C5F"/>
      <name val="Consolas"/>
      <family val="3"/>
    </font>
    <font>
      <sz val="11"/>
      <color rgb="FF95A5A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447675</xdr:colOff>
      <xdr:row>18</xdr:row>
      <xdr:rowOff>154441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43675" cy="3583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2" workbookViewId="0">
      <selection activeCell="J6" sqref="J6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12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12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22</v>
      </c>
      <c r="I2" t="s">
        <v>3</v>
      </c>
      <c r="L2">
        <v>-103</v>
      </c>
    </row>
    <row r="3" spans="1:12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23</v>
      </c>
      <c r="I3" t="s">
        <v>4</v>
      </c>
      <c r="L3">
        <v>198</v>
      </c>
    </row>
    <row r="4" spans="1:12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24</v>
      </c>
      <c r="I4" t="s">
        <v>5</v>
      </c>
    </row>
    <row r="5" spans="1:12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25</v>
      </c>
      <c r="I5" t="s">
        <v>6</v>
      </c>
    </row>
    <row r="6" spans="1:12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26</v>
      </c>
      <c r="L6" s="1" t="s">
        <v>41</v>
      </c>
    </row>
    <row r="7" spans="1:12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27</v>
      </c>
      <c r="L7" s="1" t="s">
        <v>42</v>
      </c>
    </row>
    <row r="8" spans="1:12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28</v>
      </c>
      <c r="L8" s="1" t="s">
        <v>43</v>
      </c>
    </row>
    <row r="9" spans="1:12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29</v>
      </c>
      <c r="L9" s="1" t="s">
        <v>44</v>
      </c>
    </row>
    <row r="10" spans="1:12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30</v>
      </c>
      <c r="I10" t="s">
        <v>8</v>
      </c>
      <c r="L10" s="2"/>
    </row>
    <row r="11" spans="1:12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31</v>
      </c>
      <c r="L11" s="1" t="s">
        <v>45</v>
      </c>
    </row>
    <row r="12" spans="1:12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32</v>
      </c>
      <c r="I12" t="s">
        <v>7</v>
      </c>
      <c r="L12" s="1" t="s">
        <v>42</v>
      </c>
    </row>
    <row r="13" spans="1:12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33</v>
      </c>
      <c r="L13" s="1" t="s">
        <v>46</v>
      </c>
    </row>
    <row r="14" spans="1:12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34</v>
      </c>
      <c r="L14" s="1" t="s">
        <v>44</v>
      </c>
    </row>
    <row r="15" spans="1:12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35</v>
      </c>
      <c r="L15" s="2"/>
    </row>
    <row r="16" spans="1:12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36</v>
      </c>
      <c r="L16" s="1" t="s">
        <v>47</v>
      </c>
    </row>
    <row r="17" spans="1:18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37</v>
      </c>
      <c r="L17" s="1" t="s">
        <v>42</v>
      </c>
    </row>
    <row r="18" spans="1:18" x14ac:dyDescent="0.25">
      <c r="A18" t="s">
        <v>10</v>
      </c>
      <c r="B18">
        <v>16</v>
      </c>
      <c r="C18">
        <v>18</v>
      </c>
      <c r="F18" t="s">
        <v>0</v>
      </c>
      <c r="G18">
        <v>16</v>
      </c>
      <c r="H18">
        <v>38</v>
      </c>
      <c r="L18" s="1" t="s">
        <v>48</v>
      </c>
    </row>
    <row r="19" spans="1:18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39</v>
      </c>
      <c r="L19" s="1" t="s">
        <v>44</v>
      </c>
    </row>
    <row r="20" spans="1:18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40</v>
      </c>
    </row>
    <row r="21" spans="1:18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41</v>
      </c>
    </row>
    <row r="22" spans="1:18" x14ac:dyDescent="0.25">
      <c r="L22">
        <f>IF(L2 &gt; -10.5, 127, IF(L2 &gt;= -74, (L2 + 74) * 2, ((L2 + 74) * 2) + 256))</f>
        <v>198</v>
      </c>
      <c r="M22">
        <f t="shared" ref="M22:R22" si="0">IF(M2 &gt; -10.5, 127, IF(M2 &gt;= -74, (M2 + 74) * 2, ((M2 + 74) * 2) + 256))</f>
        <v>127</v>
      </c>
      <c r="N22">
        <f t="shared" si="0"/>
        <v>127</v>
      </c>
      <c r="O22">
        <f t="shared" si="0"/>
        <v>127</v>
      </c>
      <c r="P22">
        <f t="shared" si="0"/>
        <v>127</v>
      </c>
      <c r="Q22">
        <f t="shared" si="0"/>
        <v>127</v>
      </c>
      <c r="R22">
        <f t="shared" si="0"/>
        <v>127</v>
      </c>
    </row>
    <row r="23" spans="1:18" x14ac:dyDescent="0.25">
      <c r="L23">
        <f>IF(L3=127, -10.5, IF(AND(L3&gt;=0, L3&lt;127), (L3 / 2) - 74, IF(AND(L3&gt;=128, L3&lt;=255), ((L3 - 256) / 2) - 74, "Byte Inválido")))</f>
        <v>-103</v>
      </c>
    </row>
  </sheetData>
  <mergeCells count="2">
    <mergeCell ref="F1:G1"/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8" workbookViewId="0">
      <selection activeCell="A8" sqref="A1:XFD1048576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9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32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33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34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35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36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37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38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39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40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41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42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43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44</v>
      </c>
      <c r="I14" t="s">
        <v>40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45</v>
      </c>
      <c r="I15" t="s">
        <v>39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46</v>
      </c>
      <c r="I16" t="s">
        <v>38</v>
      </c>
    </row>
    <row r="17" spans="1:9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47</v>
      </c>
      <c r="I17" t="s">
        <v>37</v>
      </c>
    </row>
    <row r="18" spans="1:9" x14ac:dyDescent="0.25">
      <c r="A18" t="s">
        <v>10</v>
      </c>
      <c r="B18">
        <v>16</v>
      </c>
      <c r="C18">
        <v>18</v>
      </c>
      <c r="D18" t="s">
        <v>36</v>
      </c>
      <c r="F18" t="s">
        <v>0</v>
      </c>
      <c r="G18">
        <v>16</v>
      </c>
      <c r="H18">
        <v>48</v>
      </c>
      <c r="I18" t="s">
        <v>35</v>
      </c>
    </row>
    <row r="19" spans="1:9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49</v>
      </c>
      <c r="I19" t="s">
        <v>33</v>
      </c>
    </row>
    <row r="20" spans="1:9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50</v>
      </c>
      <c r="I20" t="s">
        <v>34</v>
      </c>
    </row>
    <row r="21" spans="1:9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51</v>
      </c>
      <c r="I21" t="s">
        <v>22</v>
      </c>
    </row>
    <row r="22" spans="1:9" x14ac:dyDescent="0.25">
      <c r="A22" t="s">
        <v>10</v>
      </c>
      <c r="B22">
        <v>20</v>
      </c>
      <c r="C22">
        <v>22</v>
      </c>
      <c r="F22" t="s">
        <v>0</v>
      </c>
      <c r="G22">
        <v>20</v>
      </c>
      <c r="H22">
        <v>52</v>
      </c>
      <c r="I22" t="s">
        <v>25</v>
      </c>
    </row>
    <row r="23" spans="1:9" x14ac:dyDescent="0.25">
      <c r="A23" t="s">
        <v>10</v>
      </c>
      <c r="B23">
        <v>21</v>
      </c>
      <c r="C23">
        <v>23</v>
      </c>
      <c r="F23" t="s">
        <v>0</v>
      </c>
      <c r="G23">
        <v>21</v>
      </c>
      <c r="H23">
        <v>53</v>
      </c>
      <c r="I23" t="s">
        <v>24</v>
      </c>
    </row>
    <row r="24" spans="1:9" x14ac:dyDescent="0.25">
      <c r="A24" t="s">
        <v>10</v>
      </c>
      <c r="B24">
        <v>22</v>
      </c>
      <c r="C24">
        <v>24</v>
      </c>
      <c r="F24" t="s">
        <v>0</v>
      </c>
      <c r="G24">
        <v>22</v>
      </c>
      <c r="H24">
        <v>54</v>
      </c>
      <c r="I24" t="s">
        <v>23</v>
      </c>
    </row>
    <row r="25" spans="1:9" x14ac:dyDescent="0.25">
      <c r="A25" t="s">
        <v>10</v>
      </c>
      <c r="B25">
        <v>23</v>
      </c>
      <c r="C25">
        <v>25</v>
      </c>
      <c r="F25" t="s">
        <v>0</v>
      </c>
      <c r="G25">
        <v>23</v>
      </c>
      <c r="H25">
        <v>55</v>
      </c>
      <c r="I25" t="s">
        <v>30</v>
      </c>
    </row>
    <row r="26" spans="1:9" x14ac:dyDescent="0.25">
      <c r="A26" t="s">
        <v>10</v>
      </c>
      <c r="B26">
        <v>24</v>
      </c>
      <c r="C26">
        <v>26</v>
      </c>
      <c r="F26" t="s">
        <v>0</v>
      </c>
      <c r="G26">
        <v>24</v>
      </c>
      <c r="H26">
        <v>56</v>
      </c>
      <c r="I26" t="s">
        <v>26</v>
      </c>
    </row>
    <row r="27" spans="1:9" x14ac:dyDescent="0.25">
      <c r="A27" t="s">
        <v>10</v>
      </c>
      <c r="B27">
        <v>25</v>
      </c>
      <c r="C27">
        <v>27</v>
      </c>
      <c r="F27" t="s">
        <v>0</v>
      </c>
      <c r="G27">
        <v>25</v>
      </c>
      <c r="H27">
        <v>57</v>
      </c>
      <c r="I27" t="s">
        <v>27</v>
      </c>
    </row>
    <row r="28" spans="1:9" x14ac:dyDescent="0.25">
      <c r="A28" t="s">
        <v>10</v>
      </c>
      <c r="B28">
        <v>26</v>
      </c>
      <c r="C28">
        <v>28</v>
      </c>
      <c r="F28" t="s">
        <v>0</v>
      </c>
      <c r="G28">
        <v>26</v>
      </c>
      <c r="H28">
        <v>58</v>
      </c>
      <c r="I28" t="s">
        <v>28</v>
      </c>
    </row>
    <row r="29" spans="1:9" x14ac:dyDescent="0.25">
      <c r="A29" t="s">
        <v>10</v>
      </c>
      <c r="B29">
        <v>27</v>
      </c>
      <c r="C29">
        <v>29</v>
      </c>
      <c r="F29" t="s">
        <v>0</v>
      </c>
      <c r="G29">
        <v>27</v>
      </c>
      <c r="H29">
        <v>59</v>
      </c>
      <c r="I29" t="s">
        <v>29</v>
      </c>
    </row>
    <row r="30" spans="1:9" x14ac:dyDescent="0.25">
      <c r="A30" t="s">
        <v>10</v>
      </c>
      <c r="B30">
        <v>28</v>
      </c>
      <c r="C30">
        <v>30</v>
      </c>
      <c r="F30" t="s">
        <v>0</v>
      </c>
      <c r="G30">
        <v>28</v>
      </c>
      <c r="H30">
        <v>60</v>
      </c>
      <c r="I30" t="s">
        <v>32</v>
      </c>
    </row>
    <row r="31" spans="1:9" x14ac:dyDescent="0.25">
      <c r="A31" t="s">
        <v>10</v>
      </c>
      <c r="B31">
        <v>29</v>
      </c>
      <c r="C31">
        <v>31</v>
      </c>
      <c r="F31" t="s">
        <v>0</v>
      </c>
      <c r="G31">
        <v>29</v>
      </c>
      <c r="H31">
        <v>61</v>
      </c>
      <c r="I31" t="s">
        <v>31</v>
      </c>
    </row>
  </sheetData>
  <mergeCells count="2">
    <mergeCell ref="A1:B1"/>
    <mergeCell ref="F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C1" workbookViewId="0">
      <selection activeCell="J1" sqref="J1:O21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  <col min="11" max="11" width="12.42578125" bestFit="1" customWidth="1"/>
    <col min="12" max="13" width="16.28515625" bestFit="1" customWidth="1"/>
    <col min="14" max="14" width="13" customWidth="1"/>
  </cols>
  <sheetData>
    <row r="1" spans="1:9" x14ac:dyDescent="0.25">
      <c r="A1" s="3" t="s">
        <v>2</v>
      </c>
      <c r="B1" s="3"/>
      <c r="C1" t="s">
        <v>1</v>
      </c>
      <c r="F1" s="3" t="s">
        <v>9</v>
      </c>
      <c r="G1" s="3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22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23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24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25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26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27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28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29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30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31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32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33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34</v>
      </c>
      <c r="I14" t="s">
        <v>40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35</v>
      </c>
      <c r="I15" t="s">
        <v>39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36</v>
      </c>
      <c r="I16" t="s">
        <v>38</v>
      </c>
    </row>
    <row r="17" spans="1:9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37</v>
      </c>
      <c r="I17" t="s">
        <v>37</v>
      </c>
    </row>
    <row r="18" spans="1:9" x14ac:dyDescent="0.25">
      <c r="A18" t="s">
        <v>10</v>
      </c>
      <c r="B18">
        <v>16</v>
      </c>
      <c r="C18">
        <v>18</v>
      </c>
      <c r="D18" t="s">
        <v>36</v>
      </c>
      <c r="F18" t="s">
        <v>0</v>
      </c>
      <c r="G18">
        <v>16</v>
      </c>
      <c r="H18">
        <v>38</v>
      </c>
      <c r="I18" t="s">
        <v>35</v>
      </c>
    </row>
    <row r="19" spans="1:9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39</v>
      </c>
      <c r="I19" t="s">
        <v>33</v>
      </c>
    </row>
    <row r="20" spans="1:9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40</v>
      </c>
      <c r="I20" t="s">
        <v>34</v>
      </c>
    </row>
    <row r="21" spans="1:9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41</v>
      </c>
      <c r="I21" t="s">
        <v>22</v>
      </c>
    </row>
    <row r="22" spans="1:9" x14ac:dyDescent="0.25">
      <c r="F22" t="s">
        <v>0</v>
      </c>
      <c r="G22">
        <v>20</v>
      </c>
      <c r="H22">
        <v>42</v>
      </c>
      <c r="I22" t="s">
        <v>25</v>
      </c>
    </row>
    <row r="23" spans="1:9" x14ac:dyDescent="0.25">
      <c r="F23" t="s">
        <v>0</v>
      </c>
      <c r="G23">
        <v>21</v>
      </c>
      <c r="H23">
        <v>43</v>
      </c>
      <c r="I23" t="s">
        <v>24</v>
      </c>
    </row>
    <row r="24" spans="1:9" x14ac:dyDescent="0.25">
      <c r="F24" t="s">
        <v>0</v>
      </c>
      <c r="G24">
        <v>22</v>
      </c>
      <c r="H24">
        <v>44</v>
      </c>
      <c r="I24" t="s">
        <v>23</v>
      </c>
    </row>
    <row r="25" spans="1:9" x14ac:dyDescent="0.25">
      <c r="F25" t="s">
        <v>0</v>
      </c>
      <c r="G25">
        <v>23</v>
      </c>
      <c r="H25">
        <v>45</v>
      </c>
      <c r="I25" t="s">
        <v>30</v>
      </c>
    </row>
    <row r="26" spans="1:9" x14ac:dyDescent="0.25">
      <c r="F26" t="s">
        <v>0</v>
      </c>
      <c r="G26">
        <v>24</v>
      </c>
      <c r="H26">
        <v>46</v>
      </c>
      <c r="I26" t="s">
        <v>26</v>
      </c>
    </row>
    <row r="27" spans="1:9" x14ac:dyDescent="0.25">
      <c r="F27" t="s">
        <v>0</v>
      </c>
      <c r="G27">
        <v>25</v>
      </c>
      <c r="H27">
        <v>47</v>
      </c>
      <c r="I27" t="s">
        <v>27</v>
      </c>
    </row>
    <row r="28" spans="1:9" x14ac:dyDescent="0.25">
      <c r="F28" t="s">
        <v>0</v>
      </c>
      <c r="G28">
        <v>26</v>
      </c>
      <c r="H28">
        <v>48</v>
      </c>
      <c r="I28" t="s">
        <v>28</v>
      </c>
    </row>
    <row r="29" spans="1:9" x14ac:dyDescent="0.25">
      <c r="F29" t="s">
        <v>0</v>
      </c>
      <c r="G29">
        <v>27</v>
      </c>
      <c r="H29">
        <v>49</v>
      </c>
      <c r="I29" t="s">
        <v>29</v>
      </c>
    </row>
    <row r="30" spans="1:9" x14ac:dyDescent="0.25">
      <c r="F30" t="s">
        <v>0</v>
      </c>
      <c r="G30">
        <v>28</v>
      </c>
      <c r="H30">
        <v>50</v>
      </c>
      <c r="I30" t="s">
        <v>32</v>
      </c>
    </row>
    <row r="31" spans="1:9" x14ac:dyDescent="0.25">
      <c r="F31" t="s">
        <v>0</v>
      </c>
      <c r="G31">
        <v>29</v>
      </c>
      <c r="H31">
        <v>51</v>
      </c>
      <c r="I31" t="s">
        <v>31</v>
      </c>
    </row>
  </sheetData>
  <mergeCells count="2">
    <mergeCell ref="A1:B1"/>
    <mergeCell ref="F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4:Q22"/>
  <sheetViews>
    <sheetView tabSelected="1" workbookViewId="0">
      <selection activeCell="P23" sqref="P23"/>
    </sheetView>
  </sheetViews>
  <sheetFormatPr defaultRowHeight="15" x14ac:dyDescent="0.25"/>
  <cols>
    <col min="13" max="13" width="6.42578125" customWidth="1"/>
    <col min="14" max="14" width="13.42578125" customWidth="1"/>
    <col min="15" max="16" width="16.28515625" bestFit="1" customWidth="1"/>
    <col min="17" max="17" width="12" customWidth="1"/>
  </cols>
  <sheetData>
    <row r="4" spans="13:17" x14ac:dyDescent="0.25">
      <c r="N4" t="s">
        <v>54</v>
      </c>
      <c r="O4" t="s">
        <v>54</v>
      </c>
      <c r="P4" t="s">
        <v>54</v>
      </c>
      <c r="Q4" t="s">
        <v>54</v>
      </c>
    </row>
    <row r="5" spans="13:17" x14ac:dyDescent="0.25">
      <c r="N5" t="s">
        <v>49</v>
      </c>
      <c r="O5" t="s">
        <v>50</v>
      </c>
      <c r="P5" t="s">
        <v>51</v>
      </c>
      <c r="Q5" t="s">
        <v>52</v>
      </c>
    </row>
    <row r="6" spans="13:17" x14ac:dyDescent="0.25">
      <c r="N6">
        <v>125</v>
      </c>
      <c r="O6">
        <v>2237</v>
      </c>
      <c r="P6">
        <v>2237</v>
      </c>
      <c r="Q6">
        <v>125</v>
      </c>
    </row>
    <row r="7" spans="13:17" x14ac:dyDescent="0.25">
      <c r="M7" t="s">
        <v>55</v>
      </c>
      <c r="N7" t="s">
        <v>53</v>
      </c>
      <c r="O7">
        <f>SUM(N6:Q6)</f>
        <v>4724</v>
      </c>
      <c r="P7">
        <v>5</v>
      </c>
      <c r="Q7" t="s">
        <v>56</v>
      </c>
    </row>
    <row r="9" spans="13:17" x14ac:dyDescent="0.25">
      <c r="N9" t="s">
        <v>54</v>
      </c>
      <c r="O9" t="s">
        <v>54</v>
      </c>
      <c r="P9" t="s">
        <v>54</v>
      </c>
      <c r="Q9" t="s">
        <v>54</v>
      </c>
    </row>
    <row r="10" spans="13:17" x14ac:dyDescent="0.25">
      <c r="N10" t="s">
        <v>49</v>
      </c>
      <c r="O10" t="s">
        <v>60</v>
      </c>
      <c r="P10" t="s">
        <v>61</v>
      </c>
      <c r="Q10" t="s">
        <v>52</v>
      </c>
    </row>
    <row r="11" spans="13:17" x14ac:dyDescent="0.25">
      <c r="N11">
        <v>125</v>
      </c>
      <c r="O11">
        <v>1647</v>
      </c>
      <c r="P11">
        <v>1647</v>
      </c>
      <c r="Q11">
        <v>125</v>
      </c>
    </row>
    <row r="12" spans="13:17" x14ac:dyDescent="0.25">
      <c r="M12" t="s">
        <v>57</v>
      </c>
      <c r="N12" t="s">
        <v>59</v>
      </c>
      <c r="O12">
        <f>SUM(N11:Q11)</f>
        <v>3544</v>
      </c>
      <c r="P12">
        <v>4</v>
      </c>
      <c r="Q12" t="s">
        <v>56</v>
      </c>
    </row>
    <row r="14" spans="13:17" x14ac:dyDescent="0.25">
      <c r="N14" t="s">
        <v>54</v>
      </c>
      <c r="O14" t="s">
        <v>54</v>
      </c>
      <c r="P14" t="s">
        <v>54</v>
      </c>
      <c r="Q14" t="s">
        <v>54</v>
      </c>
    </row>
    <row r="15" spans="13:17" x14ac:dyDescent="0.25">
      <c r="N15" t="s">
        <v>49</v>
      </c>
      <c r="O15" t="s">
        <v>63</v>
      </c>
      <c r="P15" t="s">
        <v>62</v>
      </c>
      <c r="Q15" t="s">
        <v>52</v>
      </c>
    </row>
    <row r="16" spans="13:17" x14ac:dyDescent="0.25">
      <c r="N16">
        <v>125</v>
      </c>
      <c r="O16">
        <v>227</v>
      </c>
      <c r="P16">
        <v>227</v>
      </c>
      <c r="Q16">
        <v>125</v>
      </c>
    </row>
    <row r="17" spans="13:17" x14ac:dyDescent="0.25">
      <c r="M17" t="s">
        <v>57</v>
      </c>
      <c r="N17" t="s">
        <v>64</v>
      </c>
      <c r="O17">
        <f>SUM(N16:Q16)</f>
        <v>704</v>
      </c>
      <c r="P17">
        <v>1</v>
      </c>
      <c r="Q17" t="s">
        <v>56</v>
      </c>
    </row>
    <row r="19" spans="13:17" x14ac:dyDescent="0.25">
      <c r="N19" t="s">
        <v>54</v>
      </c>
      <c r="O19" t="s">
        <v>54</v>
      </c>
      <c r="P19" t="s">
        <v>54</v>
      </c>
      <c r="Q19" t="s">
        <v>54</v>
      </c>
    </row>
    <row r="20" spans="13:17" x14ac:dyDescent="0.25">
      <c r="N20" t="s">
        <v>49</v>
      </c>
      <c r="O20" t="s">
        <v>66</v>
      </c>
      <c r="P20" t="s">
        <v>67</v>
      </c>
      <c r="Q20" t="s">
        <v>52</v>
      </c>
    </row>
    <row r="21" spans="13:17" x14ac:dyDescent="0.25">
      <c r="N21">
        <v>125</v>
      </c>
      <c r="O21">
        <v>60</v>
      </c>
      <c r="P21">
        <v>60</v>
      </c>
      <c r="Q21">
        <v>125</v>
      </c>
    </row>
    <row r="22" spans="13:17" x14ac:dyDescent="0.25">
      <c r="M22" t="s">
        <v>58</v>
      </c>
      <c r="N22" t="s">
        <v>65</v>
      </c>
      <c r="O22">
        <f>SUM(N21:Q21)</f>
        <v>370</v>
      </c>
      <c r="P22">
        <v>0.5</v>
      </c>
      <c r="Q22" t="s">
        <v>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 Bytes</vt:lpstr>
      <vt:lpstr>30 Bytes</vt:lpstr>
      <vt:lpstr>DL20-UL30</vt:lpstr>
      <vt:lpstr>ToA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Coletti</dc:creator>
  <cp:lastModifiedBy>Cristiane Coletti</cp:lastModifiedBy>
  <dcterms:created xsi:type="dcterms:W3CDTF">2026-09-23T19:53:50Z</dcterms:created>
  <dcterms:modified xsi:type="dcterms:W3CDTF">2026-10-14T14:58:10Z</dcterms:modified>
</cp:coreProperties>
</file>