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Temp\Pos-Doc\Frameworks\Artigo\Framework_DL_UL_MQTT_PAR\LoRa_Survey_MQTT_Net_GPS\LoRa_Survey_MQTT_Nodes\3_N4_Armazenamento\Parametros\"/>
    </mc:Choice>
  </mc:AlternateContent>
  <bookViews>
    <workbookView xWindow="0" yWindow="0" windowWidth="20490" windowHeight="7755"/>
  </bookViews>
  <sheets>
    <sheet name="20 Bytes" sheetId="1" r:id="rId1"/>
    <sheet name="30 Byte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3" i="1" l="1"/>
  <c r="M22" i="1"/>
  <c r="N22" i="1"/>
  <c r="O22" i="1"/>
  <c r="P22" i="1"/>
  <c r="Q22" i="1"/>
  <c r="R22" i="1"/>
  <c r="L22" i="1"/>
</calcChain>
</file>

<file path=xl/sharedStrings.xml><?xml version="1.0" encoding="utf-8"?>
<sst xmlns="http://schemas.openxmlformats.org/spreadsheetml/2006/main" count="173" uniqueCount="49">
  <si>
    <t>UL_B</t>
  </si>
  <si>
    <t>Posição</t>
  </si>
  <si>
    <t>Pacote_DL</t>
  </si>
  <si>
    <t>RSSI DL</t>
  </si>
  <si>
    <t>SNR_DL</t>
  </si>
  <si>
    <t>RSSI_UL</t>
  </si>
  <si>
    <t>SNR_UL</t>
  </si>
  <si>
    <t>Endereço Remetente - End Device</t>
  </si>
  <si>
    <t>Endereço Destinatário - Gateway</t>
  </si>
  <si>
    <t>Pacote_UL</t>
  </si>
  <si>
    <t>DL_B</t>
  </si>
  <si>
    <t>SF</t>
  </si>
  <si>
    <t>BW</t>
  </si>
  <si>
    <t>CR</t>
  </si>
  <si>
    <t>PTx</t>
  </si>
  <si>
    <t>Cmd LoRa</t>
  </si>
  <si>
    <t>Temp Air</t>
  </si>
  <si>
    <t>Total testes LSB</t>
  </si>
  <si>
    <t>Total testes MSB</t>
  </si>
  <si>
    <t>End Device Address</t>
  </si>
  <si>
    <t>TBD</t>
  </si>
  <si>
    <t>Gateway Address</t>
  </si>
  <si>
    <t>Tipo do Hardware</t>
  </si>
  <si>
    <t>LAT &gt;&gt; 8</t>
  </si>
  <si>
    <t>LAT &gt;&gt; 16</t>
  </si>
  <si>
    <t>LAT &gt;&gt; 124</t>
  </si>
  <si>
    <t>LON &gt;&gt; 124</t>
  </si>
  <si>
    <t>LON &gt;&gt; 16</t>
  </si>
  <si>
    <t>LON &gt;&gt; 8</t>
  </si>
  <si>
    <t>LONGITUDE</t>
  </si>
  <si>
    <t>LATITUDE</t>
  </si>
  <si>
    <t>ALTITUDE</t>
  </si>
  <si>
    <t>ALT &gt;&gt; 8</t>
  </si>
  <si>
    <t>LUM &gt;&gt; 8</t>
  </si>
  <si>
    <t>LUMINOSIDADE</t>
  </si>
  <si>
    <t>ST_LED_AMARELO</t>
  </si>
  <si>
    <t>CMD_LED_AMARELO</t>
  </si>
  <si>
    <t>COUNT_UPLINK</t>
  </si>
  <si>
    <t>COUNT_UPLINK &gt;&gt; 8</t>
  </si>
  <si>
    <t>COUNT_DOWNLINK_LOSS</t>
  </si>
  <si>
    <t>COUNT_DOWNLINK_LOSS &gt;&gt; 8</t>
  </si>
  <si>
    <r>
      <t xml:space="preserve">  </t>
    </r>
    <r>
      <rPr>
        <sz val="11"/>
        <color rgb="FF728E00"/>
        <rFont val="Consolas"/>
        <family val="3"/>
      </rPr>
      <t>if</t>
    </r>
    <r>
      <rPr>
        <sz val="11"/>
        <color rgb="FF434F54"/>
        <rFont val="Consolas"/>
        <family val="3"/>
      </rPr>
      <t>(</t>
    </r>
    <r>
      <rPr>
        <sz val="11"/>
        <color rgb="FF4E5B61"/>
        <rFont val="Consolas"/>
        <family val="3"/>
      </rPr>
      <t>RSSI_dBm_DL &gt; -</t>
    </r>
    <r>
      <rPr>
        <sz val="11"/>
        <color rgb="FF005C5F"/>
        <rFont val="Consolas"/>
        <family val="3"/>
      </rPr>
      <t>10.5</t>
    </r>
    <r>
      <rPr>
        <sz val="11"/>
        <color rgb="FF434F54"/>
        <rFont val="Consolas"/>
        <family val="3"/>
      </rPr>
      <t>)</t>
    </r>
    <r>
      <rPr>
        <sz val="11"/>
        <color rgb="FF95A5A6"/>
        <rFont val="Consolas"/>
        <family val="3"/>
      </rPr>
      <t xml:space="preserve">  // Caso a RSSI medida esteja acima do valor superior -10,5 dBm</t>
    </r>
  </si>
  <si>
    <r>
      <t xml:space="preserve">  </t>
    </r>
    <r>
      <rPr>
        <sz val="11"/>
        <color rgb="FF434F54"/>
        <rFont val="Consolas"/>
        <family val="3"/>
      </rPr>
      <t>{</t>
    </r>
  </si>
  <si>
    <r>
      <t xml:space="preserve">   RSSI_DL = </t>
    </r>
    <r>
      <rPr>
        <sz val="11"/>
        <color rgb="FF005C5F"/>
        <rFont val="Consolas"/>
        <family val="3"/>
      </rPr>
      <t>127</t>
    </r>
    <r>
      <rPr>
        <sz val="11"/>
        <color rgb="FF4E5B61"/>
        <rFont val="Consolas"/>
        <family val="3"/>
      </rPr>
      <t>;</t>
    </r>
    <r>
      <rPr>
        <sz val="11"/>
        <color rgb="FF95A5A6"/>
        <rFont val="Consolas"/>
        <family val="3"/>
      </rPr>
      <t xml:space="preserve"> // equivalente a -10,5 dBm </t>
    </r>
  </si>
  <si>
    <r>
      <t xml:space="preserve">  </t>
    </r>
    <r>
      <rPr>
        <sz val="11"/>
        <color rgb="FF434F54"/>
        <rFont val="Consolas"/>
        <family val="3"/>
      </rPr>
      <t>}</t>
    </r>
  </si>
  <si>
    <r>
      <t xml:space="preserve">  </t>
    </r>
    <r>
      <rPr>
        <sz val="11"/>
        <color rgb="FF728E00"/>
        <rFont val="Consolas"/>
        <family val="3"/>
      </rPr>
      <t>if</t>
    </r>
    <r>
      <rPr>
        <sz val="11"/>
        <color rgb="FF434F54"/>
        <rFont val="Consolas"/>
        <family val="3"/>
      </rPr>
      <t>(</t>
    </r>
    <r>
      <rPr>
        <sz val="11"/>
        <color rgb="FF4E5B61"/>
        <rFont val="Consolas"/>
        <family val="3"/>
      </rPr>
      <t>RSSI_dBm_DL &lt;= -</t>
    </r>
    <r>
      <rPr>
        <sz val="11"/>
        <color rgb="FF005C5F"/>
        <rFont val="Consolas"/>
        <family val="3"/>
      </rPr>
      <t>10.5</t>
    </r>
    <r>
      <rPr>
        <sz val="11"/>
        <color rgb="FF4E5B61"/>
        <rFont val="Consolas"/>
        <family val="3"/>
      </rPr>
      <t xml:space="preserve"> &amp;&amp; RSSI_dBm_DL &gt;= -</t>
    </r>
    <r>
      <rPr>
        <sz val="11"/>
        <color rgb="FF005C5F"/>
        <rFont val="Consolas"/>
        <family val="3"/>
      </rPr>
      <t>74</t>
    </r>
    <r>
      <rPr>
        <sz val="11"/>
        <color rgb="FF434F54"/>
        <rFont val="Consolas"/>
        <family val="3"/>
      </rPr>
      <t>)</t>
    </r>
    <r>
      <rPr>
        <sz val="11"/>
        <color rgb="FF95A5A6"/>
        <rFont val="Consolas"/>
        <family val="3"/>
      </rPr>
      <t xml:space="preserve"> // Caso a RSSI medida esteja no intervalo [-10,5 dBm e -74 dBm]</t>
    </r>
  </si>
  <si>
    <r>
      <t xml:space="preserve">   RSSI_DL = </t>
    </r>
    <r>
      <rPr>
        <sz val="11"/>
        <color rgb="FF434F54"/>
        <rFont val="Consolas"/>
        <family val="3"/>
      </rPr>
      <t>((</t>
    </r>
    <r>
      <rPr>
        <sz val="11"/>
        <color rgb="FF4E5B61"/>
        <rFont val="Consolas"/>
        <family val="3"/>
      </rPr>
      <t>RSSI_dBm_DL +</t>
    </r>
    <r>
      <rPr>
        <sz val="11"/>
        <color rgb="FF005C5F"/>
        <rFont val="Consolas"/>
        <family val="3"/>
      </rPr>
      <t>74</t>
    </r>
    <r>
      <rPr>
        <sz val="11"/>
        <color rgb="FF434F54"/>
        <rFont val="Consolas"/>
        <family val="3"/>
      </rPr>
      <t>)</t>
    </r>
    <r>
      <rPr>
        <sz val="11"/>
        <color rgb="FF4E5B61"/>
        <rFont val="Consolas"/>
        <family val="3"/>
      </rPr>
      <t>*</t>
    </r>
    <r>
      <rPr>
        <sz val="11"/>
        <color rgb="FF005C5F"/>
        <rFont val="Consolas"/>
        <family val="3"/>
      </rPr>
      <t>2</t>
    </r>
    <r>
      <rPr>
        <sz val="11"/>
        <color rgb="FF434F54"/>
        <rFont val="Consolas"/>
        <family val="3"/>
      </rPr>
      <t>)</t>
    </r>
    <r>
      <rPr>
        <sz val="11"/>
        <color rgb="FF4E5B61"/>
        <rFont val="Consolas"/>
        <family val="3"/>
      </rPr>
      <t xml:space="preserve"> ;</t>
    </r>
  </si>
  <si>
    <r>
      <t xml:space="preserve">  </t>
    </r>
    <r>
      <rPr>
        <sz val="11"/>
        <color rgb="FF728E00"/>
        <rFont val="Consolas"/>
        <family val="3"/>
      </rPr>
      <t>if</t>
    </r>
    <r>
      <rPr>
        <sz val="11"/>
        <color rgb="FF434F54"/>
        <rFont val="Consolas"/>
        <family val="3"/>
      </rPr>
      <t>(</t>
    </r>
    <r>
      <rPr>
        <sz val="11"/>
        <color rgb="FF4E5B61"/>
        <rFont val="Consolas"/>
        <family val="3"/>
      </rPr>
      <t>RSSI_dBm_DL &lt; -</t>
    </r>
    <r>
      <rPr>
        <sz val="11"/>
        <color rgb="FF005C5F"/>
        <rFont val="Consolas"/>
        <family val="3"/>
      </rPr>
      <t>74</t>
    </r>
    <r>
      <rPr>
        <sz val="11"/>
        <color rgb="FF434F54"/>
        <rFont val="Consolas"/>
        <family val="3"/>
      </rPr>
      <t>)</t>
    </r>
    <r>
      <rPr>
        <sz val="11"/>
        <color rgb="FF95A5A6"/>
        <rFont val="Consolas"/>
        <family val="3"/>
      </rPr>
      <t xml:space="preserve"> // Caso a RSSI medida esteja no intervalo ]-74 dBm e -138 dBm]</t>
    </r>
  </si>
  <si>
    <r>
      <t xml:space="preserve">   RSSI_DL = </t>
    </r>
    <r>
      <rPr>
        <sz val="11"/>
        <color rgb="FF434F54"/>
        <rFont val="Consolas"/>
        <family val="3"/>
      </rPr>
      <t>(((</t>
    </r>
    <r>
      <rPr>
        <sz val="11"/>
        <color rgb="FF4E5B61"/>
        <rFont val="Consolas"/>
        <family val="3"/>
      </rPr>
      <t>RSSI_dBm_DL +</t>
    </r>
    <r>
      <rPr>
        <sz val="11"/>
        <color rgb="FF005C5F"/>
        <rFont val="Consolas"/>
        <family val="3"/>
      </rPr>
      <t>74</t>
    </r>
    <r>
      <rPr>
        <sz val="11"/>
        <color rgb="FF434F54"/>
        <rFont val="Consolas"/>
        <family val="3"/>
      </rPr>
      <t>)</t>
    </r>
    <r>
      <rPr>
        <sz val="11"/>
        <color rgb="FF4E5B61"/>
        <rFont val="Consolas"/>
        <family val="3"/>
      </rPr>
      <t>*</t>
    </r>
    <r>
      <rPr>
        <sz val="11"/>
        <color rgb="FF005C5F"/>
        <rFont val="Consolas"/>
        <family val="3"/>
      </rPr>
      <t>2</t>
    </r>
    <r>
      <rPr>
        <sz val="11"/>
        <color rgb="FF434F54"/>
        <rFont val="Consolas"/>
        <family val="3"/>
      </rPr>
      <t>)</t>
    </r>
    <r>
      <rPr>
        <sz val="11"/>
        <color rgb="FF4E5B61"/>
        <rFont val="Consolas"/>
        <family val="3"/>
      </rPr>
      <t>+</t>
    </r>
    <r>
      <rPr>
        <sz val="11"/>
        <color rgb="FF005C5F"/>
        <rFont val="Consolas"/>
        <family val="3"/>
      </rPr>
      <t>256</t>
    </r>
    <r>
      <rPr>
        <sz val="11"/>
        <color rgb="FF434F54"/>
        <rFont val="Consolas"/>
        <family val="3"/>
      </rPr>
      <t>)</t>
    </r>
    <r>
      <rPr>
        <sz val="11"/>
        <color rgb="FF4E5B61"/>
        <rFont val="Consolas"/>
        <family val="3"/>
      </rPr>
      <t xml:space="preserve"> 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</si>
</sst>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4E5B61"/>
      <name val="Consolas"/>
      <family val="3"/>
    </font>
    <font>
      <sz val="11"/>
      <color rgb="FF728E00"/>
      <name val="Consolas"/>
      <family val="3"/>
    </font>
    <font>
      <sz val="11"/>
      <color rgb="FF434F54"/>
      <name val="Consolas"/>
      <family val="3"/>
    </font>
    <font>
      <sz val="11"/>
      <color rgb="FF005C5F"/>
      <name val="Consolas"/>
      <family val="3"/>
    </font>
    <font>
      <sz val="11"/>
      <color rgb="FF95A5A6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2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3"/>
  <sheetViews>
    <sheetView tabSelected="1" topLeftCell="A2" workbookViewId="0">
      <selection activeCell="J6" sqref="J6"/>
    </sheetView>
  </sheetViews>
  <sheetFormatPr defaultRowHeight="15" x14ac:dyDescent="0.25"/>
  <cols>
    <col min="1" max="1" width="6.42578125" customWidth="1"/>
    <col min="2" max="2" width="3" bestFit="1" customWidth="1"/>
    <col min="3" max="3" width="7.7109375" bestFit="1" customWidth="1"/>
    <col min="4" max="4" width="24.140625" customWidth="1"/>
    <col min="6" max="6" width="7.7109375" customWidth="1"/>
    <col min="7" max="7" width="3" bestFit="1" customWidth="1"/>
    <col min="9" max="9" width="31.7109375" bestFit="1" customWidth="1"/>
  </cols>
  <sheetData>
    <row r="1" spans="1:12" x14ac:dyDescent="0.25">
      <c r="A1" s="1" t="s">
        <v>2</v>
      </c>
      <c r="B1" s="1"/>
      <c r="C1" t="s">
        <v>1</v>
      </c>
      <c r="F1" s="1" t="s">
        <v>9</v>
      </c>
      <c r="G1" s="1"/>
      <c r="H1" t="s">
        <v>1</v>
      </c>
    </row>
    <row r="2" spans="1:12" x14ac:dyDescent="0.25">
      <c r="A2" t="s">
        <v>10</v>
      </c>
      <c r="B2">
        <v>0</v>
      </c>
      <c r="C2">
        <v>2</v>
      </c>
      <c r="D2" t="s">
        <v>11</v>
      </c>
      <c r="F2" t="s">
        <v>0</v>
      </c>
      <c r="G2">
        <v>0</v>
      </c>
      <c r="H2">
        <v>22</v>
      </c>
      <c r="I2" t="s">
        <v>3</v>
      </c>
      <c r="L2">
        <v>-103</v>
      </c>
    </row>
    <row r="3" spans="1:12" x14ac:dyDescent="0.25">
      <c r="A3" t="s">
        <v>10</v>
      </c>
      <c r="B3">
        <v>1</v>
      </c>
      <c r="C3">
        <v>3</v>
      </c>
      <c r="D3" t="s">
        <v>12</v>
      </c>
      <c r="F3" t="s">
        <v>0</v>
      </c>
      <c r="G3">
        <v>1</v>
      </c>
      <c r="H3">
        <v>23</v>
      </c>
      <c r="I3" t="s">
        <v>4</v>
      </c>
      <c r="L3">
        <v>198</v>
      </c>
    </row>
    <row r="4" spans="1:12" x14ac:dyDescent="0.25">
      <c r="A4" t="s">
        <v>10</v>
      </c>
      <c r="B4">
        <v>2</v>
      </c>
      <c r="C4">
        <v>4</v>
      </c>
      <c r="D4" t="s">
        <v>13</v>
      </c>
      <c r="F4" t="s">
        <v>0</v>
      </c>
      <c r="G4">
        <v>2</v>
      </c>
      <c r="H4">
        <v>24</v>
      </c>
      <c r="I4" t="s">
        <v>5</v>
      </c>
    </row>
    <row r="5" spans="1:12" x14ac:dyDescent="0.25">
      <c r="A5" t="s">
        <v>10</v>
      </c>
      <c r="B5">
        <v>3</v>
      </c>
      <c r="C5">
        <v>5</v>
      </c>
      <c r="D5" t="s">
        <v>14</v>
      </c>
      <c r="F5" t="s">
        <v>0</v>
      </c>
      <c r="G5">
        <v>3</v>
      </c>
      <c r="H5">
        <v>25</v>
      </c>
      <c r="I5" t="s">
        <v>6</v>
      </c>
    </row>
    <row r="6" spans="1:12" x14ac:dyDescent="0.25">
      <c r="A6" t="s">
        <v>10</v>
      </c>
      <c r="B6">
        <v>4</v>
      </c>
      <c r="C6">
        <v>6</v>
      </c>
      <c r="D6" t="s">
        <v>17</v>
      </c>
      <c r="F6" t="s">
        <v>0</v>
      </c>
      <c r="G6">
        <v>4</v>
      </c>
      <c r="H6">
        <v>26</v>
      </c>
      <c r="L6" s="2" t="s">
        <v>41</v>
      </c>
    </row>
    <row r="7" spans="1:12" x14ac:dyDescent="0.25">
      <c r="A7" t="s">
        <v>10</v>
      </c>
      <c r="B7">
        <v>5</v>
      </c>
      <c r="C7">
        <v>7</v>
      </c>
      <c r="D7" t="s">
        <v>18</v>
      </c>
      <c r="F7" t="s">
        <v>0</v>
      </c>
      <c r="G7">
        <v>5</v>
      </c>
      <c r="H7">
        <v>27</v>
      </c>
      <c r="L7" s="2" t="s">
        <v>42</v>
      </c>
    </row>
    <row r="8" spans="1:12" x14ac:dyDescent="0.25">
      <c r="A8" t="s">
        <v>10</v>
      </c>
      <c r="B8">
        <v>6</v>
      </c>
      <c r="C8">
        <v>8</v>
      </c>
      <c r="D8" t="s">
        <v>16</v>
      </c>
      <c r="F8" t="s">
        <v>0</v>
      </c>
      <c r="G8">
        <v>6</v>
      </c>
      <c r="H8">
        <v>28</v>
      </c>
      <c r="L8" s="2" t="s">
        <v>43</v>
      </c>
    </row>
    <row r="9" spans="1:12" x14ac:dyDescent="0.25">
      <c r="A9" t="s">
        <v>10</v>
      </c>
      <c r="B9">
        <v>7</v>
      </c>
      <c r="C9">
        <v>9</v>
      </c>
      <c r="D9" t="s">
        <v>15</v>
      </c>
      <c r="F9" t="s">
        <v>0</v>
      </c>
      <c r="G9">
        <v>7</v>
      </c>
      <c r="H9">
        <v>29</v>
      </c>
      <c r="L9" s="2" t="s">
        <v>44</v>
      </c>
    </row>
    <row r="10" spans="1:12" x14ac:dyDescent="0.25">
      <c r="A10" t="s">
        <v>10</v>
      </c>
      <c r="B10">
        <v>8</v>
      </c>
      <c r="C10">
        <v>10</v>
      </c>
      <c r="D10" t="s">
        <v>19</v>
      </c>
      <c r="F10" t="s">
        <v>0</v>
      </c>
      <c r="G10">
        <v>8</v>
      </c>
      <c r="H10">
        <v>30</v>
      </c>
      <c r="I10" t="s">
        <v>8</v>
      </c>
      <c r="L10" s="3"/>
    </row>
    <row r="11" spans="1:12" x14ac:dyDescent="0.25">
      <c r="A11" t="s">
        <v>10</v>
      </c>
      <c r="B11">
        <v>9</v>
      </c>
      <c r="C11">
        <v>11</v>
      </c>
      <c r="D11" t="s">
        <v>20</v>
      </c>
      <c r="F11" t="s">
        <v>0</v>
      </c>
      <c r="G11">
        <v>9</v>
      </c>
      <c r="H11">
        <v>31</v>
      </c>
      <c r="L11" s="2" t="s">
        <v>45</v>
      </c>
    </row>
    <row r="12" spans="1:12" x14ac:dyDescent="0.25">
      <c r="A12" t="s">
        <v>10</v>
      </c>
      <c r="B12">
        <v>10</v>
      </c>
      <c r="C12">
        <v>12</v>
      </c>
      <c r="D12" t="s">
        <v>21</v>
      </c>
      <c r="F12" t="s">
        <v>0</v>
      </c>
      <c r="G12">
        <v>10</v>
      </c>
      <c r="H12">
        <v>32</v>
      </c>
      <c r="I12" t="s">
        <v>7</v>
      </c>
      <c r="L12" s="2" t="s">
        <v>42</v>
      </c>
    </row>
    <row r="13" spans="1:12" x14ac:dyDescent="0.25">
      <c r="A13" t="s">
        <v>10</v>
      </c>
      <c r="B13">
        <v>11</v>
      </c>
      <c r="C13">
        <v>13</v>
      </c>
      <c r="F13" t="s">
        <v>0</v>
      </c>
      <c r="G13">
        <v>11</v>
      </c>
      <c r="H13">
        <v>33</v>
      </c>
      <c r="L13" s="2" t="s">
        <v>46</v>
      </c>
    </row>
    <row r="14" spans="1:12" x14ac:dyDescent="0.25">
      <c r="A14" t="s">
        <v>10</v>
      </c>
      <c r="B14">
        <v>12</v>
      </c>
      <c r="C14">
        <v>14</v>
      </c>
      <c r="F14" t="s">
        <v>0</v>
      </c>
      <c r="G14">
        <v>12</v>
      </c>
      <c r="H14">
        <v>34</v>
      </c>
      <c r="L14" s="2" t="s">
        <v>44</v>
      </c>
    </row>
    <row r="15" spans="1:12" x14ac:dyDescent="0.25">
      <c r="A15" t="s">
        <v>10</v>
      </c>
      <c r="B15">
        <v>13</v>
      </c>
      <c r="C15">
        <v>15</v>
      </c>
      <c r="F15" t="s">
        <v>0</v>
      </c>
      <c r="G15">
        <v>13</v>
      </c>
      <c r="H15">
        <v>35</v>
      </c>
      <c r="L15" s="3"/>
    </row>
    <row r="16" spans="1:12" x14ac:dyDescent="0.25">
      <c r="A16" t="s">
        <v>10</v>
      </c>
      <c r="B16">
        <v>14</v>
      </c>
      <c r="C16">
        <v>16</v>
      </c>
      <c r="F16" t="s">
        <v>0</v>
      </c>
      <c r="G16">
        <v>14</v>
      </c>
      <c r="H16">
        <v>36</v>
      </c>
      <c r="L16" s="2" t="s">
        <v>47</v>
      </c>
    </row>
    <row r="17" spans="1:18" x14ac:dyDescent="0.25">
      <c r="A17" t="s">
        <v>10</v>
      </c>
      <c r="B17">
        <v>15</v>
      </c>
      <c r="C17">
        <v>17</v>
      </c>
      <c r="F17" t="s">
        <v>0</v>
      </c>
      <c r="G17">
        <v>15</v>
      </c>
      <c r="H17">
        <v>37</v>
      </c>
      <c r="L17" s="2" t="s">
        <v>42</v>
      </c>
    </row>
    <row r="18" spans="1:18" x14ac:dyDescent="0.25">
      <c r="A18" t="s">
        <v>10</v>
      </c>
      <c r="B18">
        <v>16</v>
      </c>
      <c r="C18">
        <v>18</v>
      </c>
      <c r="F18" t="s">
        <v>0</v>
      </c>
      <c r="G18">
        <v>16</v>
      </c>
      <c r="H18">
        <v>38</v>
      </c>
      <c r="L18" s="2" t="s">
        <v>48</v>
      </c>
    </row>
    <row r="19" spans="1:18" x14ac:dyDescent="0.25">
      <c r="A19" t="s">
        <v>10</v>
      </c>
      <c r="B19">
        <v>17</v>
      </c>
      <c r="C19">
        <v>19</v>
      </c>
      <c r="F19" t="s">
        <v>0</v>
      </c>
      <c r="G19">
        <v>17</v>
      </c>
      <c r="H19">
        <v>39</v>
      </c>
      <c r="L19" s="2" t="s">
        <v>44</v>
      </c>
    </row>
    <row r="20" spans="1:18" x14ac:dyDescent="0.25">
      <c r="A20" t="s">
        <v>10</v>
      </c>
      <c r="B20">
        <v>18</v>
      </c>
      <c r="C20">
        <v>20</v>
      </c>
      <c r="F20" t="s">
        <v>0</v>
      </c>
      <c r="G20">
        <v>18</v>
      </c>
      <c r="H20">
        <v>40</v>
      </c>
    </row>
    <row r="21" spans="1:18" x14ac:dyDescent="0.25">
      <c r="A21" t="s">
        <v>10</v>
      </c>
      <c r="B21">
        <v>19</v>
      </c>
      <c r="C21">
        <v>21</v>
      </c>
      <c r="F21" t="s">
        <v>0</v>
      </c>
      <c r="G21">
        <v>19</v>
      </c>
      <c r="H21">
        <v>41</v>
      </c>
    </row>
    <row r="22" spans="1:18" x14ac:dyDescent="0.25">
      <c r="L22">
        <f>IF(L2 &gt; -10.5, 127, IF(L2 &gt;= -74, (L2 + 74) * 2, ((L2 + 74) * 2) + 256))</f>
        <v>198</v>
      </c>
      <c r="M22">
        <f t="shared" ref="M22:R22" si="0">IF(M2 &gt; -10.5, 127, IF(M2 &gt;= -74, (M2 + 74) * 2, ((M2 + 74) * 2) + 256))</f>
        <v>127</v>
      </c>
      <c r="N22">
        <f t="shared" si="0"/>
        <v>127</v>
      </c>
      <c r="O22">
        <f t="shared" si="0"/>
        <v>127</v>
      </c>
      <c r="P22">
        <f t="shared" si="0"/>
        <v>127</v>
      </c>
      <c r="Q22">
        <f t="shared" si="0"/>
        <v>127</v>
      </c>
      <c r="R22">
        <f t="shared" si="0"/>
        <v>127</v>
      </c>
    </row>
    <row r="23" spans="1:18" x14ac:dyDescent="0.25">
      <c r="L23">
        <f>IF(L3=127, -10.5, IF(AND(L3&gt;=0, L3&lt;127), (L3 / 2) - 74, IF(AND(L3&gt;=128, L3&lt;=255), ((L3 - 256) / 2) - 74, "Byte Inválido")))</f>
        <v>-103</v>
      </c>
    </row>
  </sheetData>
  <mergeCells count="2">
    <mergeCell ref="F1:G1"/>
    <mergeCell ref="A1:B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topLeftCell="A8" workbookViewId="0">
      <selection activeCell="H10" sqref="H10"/>
    </sheetView>
  </sheetViews>
  <sheetFormatPr defaultRowHeight="15" x14ac:dyDescent="0.25"/>
  <cols>
    <col min="1" max="1" width="6.42578125" customWidth="1"/>
    <col min="2" max="2" width="3" bestFit="1" customWidth="1"/>
    <col min="3" max="3" width="7.7109375" bestFit="1" customWidth="1"/>
    <col min="4" max="4" width="24.140625" customWidth="1"/>
    <col min="6" max="6" width="7.7109375" customWidth="1"/>
    <col min="7" max="7" width="3" bestFit="1" customWidth="1"/>
    <col min="9" max="9" width="31.7109375" bestFit="1" customWidth="1"/>
  </cols>
  <sheetData>
    <row r="1" spans="1:9" x14ac:dyDescent="0.25">
      <c r="A1" s="1" t="s">
        <v>2</v>
      </c>
      <c r="B1" s="1"/>
      <c r="C1" t="s">
        <v>1</v>
      </c>
      <c r="F1" s="1" t="s">
        <v>9</v>
      </c>
      <c r="G1" s="1"/>
      <c r="H1" t="s">
        <v>1</v>
      </c>
    </row>
    <row r="2" spans="1:9" x14ac:dyDescent="0.25">
      <c r="A2" t="s">
        <v>10</v>
      </c>
      <c r="B2">
        <v>0</v>
      </c>
      <c r="C2">
        <v>2</v>
      </c>
      <c r="D2" t="s">
        <v>11</v>
      </c>
      <c r="F2" t="s">
        <v>0</v>
      </c>
      <c r="G2">
        <v>0</v>
      </c>
      <c r="H2">
        <v>32</v>
      </c>
      <c r="I2" t="s">
        <v>3</v>
      </c>
    </row>
    <row r="3" spans="1:9" x14ac:dyDescent="0.25">
      <c r="A3" t="s">
        <v>10</v>
      </c>
      <c r="B3">
        <v>1</v>
      </c>
      <c r="C3">
        <v>3</v>
      </c>
      <c r="D3" t="s">
        <v>12</v>
      </c>
      <c r="F3" t="s">
        <v>0</v>
      </c>
      <c r="G3">
        <v>1</v>
      </c>
      <c r="H3">
        <v>33</v>
      </c>
      <c r="I3" t="s">
        <v>4</v>
      </c>
    </row>
    <row r="4" spans="1:9" x14ac:dyDescent="0.25">
      <c r="A4" t="s">
        <v>10</v>
      </c>
      <c r="B4">
        <v>2</v>
      </c>
      <c r="C4">
        <v>4</v>
      </c>
      <c r="D4" t="s">
        <v>13</v>
      </c>
      <c r="F4" t="s">
        <v>0</v>
      </c>
      <c r="G4">
        <v>2</v>
      </c>
      <c r="H4">
        <v>34</v>
      </c>
      <c r="I4" t="s">
        <v>5</v>
      </c>
    </row>
    <row r="5" spans="1:9" x14ac:dyDescent="0.25">
      <c r="A5" t="s">
        <v>10</v>
      </c>
      <c r="B5">
        <v>3</v>
      </c>
      <c r="C5">
        <v>5</v>
      </c>
      <c r="D5" t="s">
        <v>14</v>
      </c>
      <c r="F5" t="s">
        <v>0</v>
      </c>
      <c r="G5">
        <v>3</v>
      </c>
      <c r="H5">
        <v>35</v>
      </c>
      <c r="I5" t="s">
        <v>6</v>
      </c>
    </row>
    <row r="6" spans="1:9" x14ac:dyDescent="0.25">
      <c r="A6" t="s">
        <v>10</v>
      </c>
      <c r="B6">
        <v>4</v>
      </c>
      <c r="C6">
        <v>6</v>
      </c>
      <c r="D6" t="s">
        <v>17</v>
      </c>
      <c r="F6" t="s">
        <v>0</v>
      </c>
      <c r="G6">
        <v>4</v>
      </c>
      <c r="H6">
        <v>36</v>
      </c>
    </row>
    <row r="7" spans="1:9" x14ac:dyDescent="0.25">
      <c r="A7" t="s">
        <v>10</v>
      </c>
      <c r="B7">
        <v>5</v>
      </c>
      <c r="C7">
        <v>7</v>
      </c>
      <c r="D7" t="s">
        <v>18</v>
      </c>
      <c r="F7" t="s">
        <v>0</v>
      </c>
      <c r="G7">
        <v>5</v>
      </c>
      <c r="H7">
        <v>37</v>
      </c>
    </row>
    <row r="8" spans="1:9" x14ac:dyDescent="0.25">
      <c r="A8" t="s">
        <v>10</v>
      </c>
      <c r="B8">
        <v>6</v>
      </c>
      <c r="C8">
        <v>8</v>
      </c>
      <c r="D8" t="s">
        <v>16</v>
      </c>
      <c r="F8" t="s">
        <v>0</v>
      </c>
      <c r="G8">
        <v>6</v>
      </c>
      <c r="H8">
        <v>38</v>
      </c>
    </row>
    <row r="9" spans="1:9" x14ac:dyDescent="0.25">
      <c r="A9" t="s">
        <v>10</v>
      </c>
      <c r="B9">
        <v>7</v>
      </c>
      <c r="C9">
        <v>9</v>
      </c>
      <c r="D9" t="s">
        <v>15</v>
      </c>
      <c r="F9" t="s">
        <v>0</v>
      </c>
      <c r="G9">
        <v>7</v>
      </c>
      <c r="H9">
        <v>39</v>
      </c>
    </row>
    <row r="10" spans="1:9" x14ac:dyDescent="0.25">
      <c r="A10" t="s">
        <v>10</v>
      </c>
      <c r="B10">
        <v>8</v>
      </c>
      <c r="C10">
        <v>10</v>
      </c>
      <c r="D10" t="s">
        <v>19</v>
      </c>
      <c r="F10" t="s">
        <v>0</v>
      </c>
      <c r="G10">
        <v>8</v>
      </c>
      <c r="H10">
        <v>40</v>
      </c>
      <c r="I10" t="s">
        <v>8</v>
      </c>
    </row>
    <row r="11" spans="1:9" x14ac:dyDescent="0.25">
      <c r="A11" t="s">
        <v>10</v>
      </c>
      <c r="B11">
        <v>9</v>
      </c>
      <c r="C11">
        <v>11</v>
      </c>
      <c r="D11" t="s">
        <v>20</v>
      </c>
      <c r="F11" t="s">
        <v>0</v>
      </c>
      <c r="G11">
        <v>9</v>
      </c>
      <c r="H11">
        <v>41</v>
      </c>
    </row>
    <row r="12" spans="1:9" x14ac:dyDescent="0.25">
      <c r="A12" t="s">
        <v>10</v>
      </c>
      <c r="B12">
        <v>10</v>
      </c>
      <c r="C12">
        <v>12</v>
      </c>
      <c r="D12" t="s">
        <v>21</v>
      </c>
      <c r="F12" t="s">
        <v>0</v>
      </c>
      <c r="G12">
        <v>10</v>
      </c>
      <c r="H12">
        <v>42</v>
      </c>
      <c r="I12" t="s">
        <v>7</v>
      </c>
    </row>
    <row r="13" spans="1:9" x14ac:dyDescent="0.25">
      <c r="A13" t="s">
        <v>10</v>
      </c>
      <c r="B13">
        <v>11</v>
      </c>
      <c r="C13">
        <v>13</v>
      </c>
      <c r="F13" t="s">
        <v>0</v>
      </c>
      <c r="G13">
        <v>11</v>
      </c>
      <c r="H13">
        <v>43</v>
      </c>
    </row>
    <row r="14" spans="1:9" x14ac:dyDescent="0.25">
      <c r="A14" t="s">
        <v>10</v>
      </c>
      <c r="B14">
        <v>12</v>
      </c>
      <c r="C14">
        <v>14</v>
      </c>
      <c r="F14" t="s">
        <v>0</v>
      </c>
      <c r="G14">
        <v>12</v>
      </c>
      <c r="H14">
        <v>44</v>
      </c>
      <c r="I14" t="s">
        <v>40</v>
      </c>
    </row>
    <row r="15" spans="1:9" x14ac:dyDescent="0.25">
      <c r="A15" t="s">
        <v>10</v>
      </c>
      <c r="B15">
        <v>13</v>
      </c>
      <c r="C15">
        <v>15</v>
      </c>
      <c r="F15" t="s">
        <v>0</v>
      </c>
      <c r="G15">
        <v>13</v>
      </c>
      <c r="H15">
        <v>45</v>
      </c>
      <c r="I15" t="s">
        <v>39</v>
      </c>
    </row>
    <row r="16" spans="1:9" x14ac:dyDescent="0.25">
      <c r="A16" t="s">
        <v>10</v>
      </c>
      <c r="B16">
        <v>14</v>
      </c>
      <c r="C16">
        <v>16</v>
      </c>
      <c r="F16" t="s">
        <v>0</v>
      </c>
      <c r="G16">
        <v>14</v>
      </c>
      <c r="H16">
        <v>46</v>
      </c>
      <c r="I16" t="s">
        <v>38</v>
      </c>
    </row>
    <row r="17" spans="1:9" x14ac:dyDescent="0.25">
      <c r="A17" t="s">
        <v>10</v>
      </c>
      <c r="B17">
        <v>15</v>
      </c>
      <c r="C17">
        <v>17</v>
      </c>
      <c r="F17" t="s">
        <v>0</v>
      </c>
      <c r="G17">
        <v>15</v>
      </c>
      <c r="H17">
        <v>47</v>
      </c>
      <c r="I17" t="s">
        <v>37</v>
      </c>
    </row>
    <row r="18" spans="1:9" x14ac:dyDescent="0.25">
      <c r="A18" t="s">
        <v>10</v>
      </c>
      <c r="B18">
        <v>16</v>
      </c>
      <c r="C18">
        <v>18</v>
      </c>
      <c r="D18" t="s">
        <v>36</v>
      </c>
      <c r="F18" t="s">
        <v>0</v>
      </c>
      <c r="G18">
        <v>16</v>
      </c>
      <c r="H18">
        <v>48</v>
      </c>
      <c r="I18" t="s">
        <v>35</v>
      </c>
    </row>
    <row r="19" spans="1:9" x14ac:dyDescent="0.25">
      <c r="A19" t="s">
        <v>10</v>
      </c>
      <c r="B19">
        <v>17</v>
      </c>
      <c r="C19">
        <v>19</v>
      </c>
      <c r="F19" t="s">
        <v>0</v>
      </c>
      <c r="G19">
        <v>17</v>
      </c>
      <c r="H19">
        <v>49</v>
      </c>
      <c r="I19" t="s">
        <v>33</v>
      </c>
    </row>
    <row r="20" spans="1:9" x14ac:dyDescent="0.25">
      <c r="A20" t="s">
        <v>10</v>
      </c>
      <c r="B20">
        <v>18</v>
      </c>
      <c r="C20">
        <v>20</v>
      </c>
      <c r="F20" t="s">
        <v>0</v>
      </c>
      <c r="G20">
        <v>18</v>
      </c>
      <c r="H20">
        <v>50</v>
      </c>
      <c r="I20" t="s">
        <v>34</v>
      </c>
    </row>
    <row r="21" spans="1:9" x14ac:dyDescent="0.25">
      <c r="A21" t="s">
        <v>10</v>
      </c>
      <c r="B21">
        <v>19</v>
      </c>
      <c r="C21">
        <v>21</v>
      </c>
      <c r="F21" t="s">
        <v>0</v>
      </c>
      <c r="G21">
        <v>19</v>
      </c>
      <c r="H21">
        <v>51</v>
      </c>
      <c r="I21" t="s">
        <v>22</v>
      </c>
    </row>
    <row r="22" spans="1:9" x14ac:dyDescent="0.25">
      <c r="A22" t="s">
        <v>10</v>
      </c>
      <c r="B22">
        <v>20</v>
      </c>
      <c r="C22">
        <v>22</v>
      </c>
      <c r="F22" t="s">
        <v>0</v>
      </c>
      <c r="G22">
        <v>20</v>
      </c>
      <c r="H22">
        <v>52</v>
      </c>
      <c r="I22" t="s">
        <v>25</v>
      </c>
    </row>
    <row r="23" spans="1:9" x14ac:dyDescent="0.25">
      <c r="A23" t="s">
        <v>10</v>
      </c>
      <c r="B23">
        <v>21</v>
      </c>
      <c r="C23">
        <v>23</v>
      </c>
      <c r="F23" t="s">
        <v>0</v>
      </c>
      <c r="G23">
        <v>21</v>
      </c>
      <c r="H23">
        <v>53</v>
      </c>
      <c r="I23" t="s">
        <v>24</v>
      </c>
    </row>
    <row r="24" spans="1:9" x14ac:dyDescent="0.25">
      <c r="A24" t="s">
        <v>10</v>
      </c>
      <c r="B24">
        <v>22</v>
      </c>
      <c r="C24">
        <v>24</v>
      </c>
      <c r="F24" t="s">
        <v>0</v>
      </c>
      <c r="G24">
        <v>22</v>
      </c>
      <c r="H24">
        <v>54</v>
      </c>
      <c r="I24" t="s">
        <v>23</v>
      </c>
    </row>
    <row r="25" spans="1:9" x14ac:dyDescent="0.25">
      <c r="A25" t="s">
        <v>10</v>
      </c>
      <c r="B25">
        <v>23</v>
      </c>
      <c r="C25">
        <v>25</v>
      </c>
      <c r="F25" t="s">
        <v>0</v>
      </c>
      <c r="G25">
        <v>23</v>
      </c>
      <c r="H25">
        <v>55</v>
      </c>
      <c r="I25" t="s">
        <v>30</v>
      </c>
    </row>
    <row r="26" spans="1:9" x14ac:dyDescent="0.25">
      <c r="A26" t="s">
        <v>10</v>
      </c>
      <c r="B26">
        <v>24</v>
      </c>
      <c r="C26">
        <v>26</v>
      </c>
      <c r="F26" t="s">
        <v>0</v>
      </c>
      <c r="G26">
        <v>24</v>
      </c>
      <c r="H26">
        <v>56</v>
      </c>
      <c r="I26" t="s">
        <v>26</v>
      </c>
    </row>
    <row r="27" spans="1:9" x14ac:dyDescent="0.25">
      <c r="A27" t="s">
        <v>10</v>
      </c>
      <c r="B27">
        <v>25</v>
      </c>
      <c r="C27">
        <v>27</v>
      </c>
      <c r="F27" t="s">
        <v>0</v>
      </c>
      <c r="G27">
        <v>25</v>
      </c>
      <c r="H27">
        <v>57</v>
      </c>
      <c r="I27" t="s">
        <v>27</v>
      </c>
    </row>
    <row r="28" spans="1:9" x14ac:dyDescent="0.25">
      <c r="A28" t="s">
        <v>10</v>
      </c>
      <c r="B28">
        <v>26</v>
      </c>
      <c r="C28">
        <v>28</v>
      </c>
      <c r="F28" t="s">
        <v>0</v>
      </c>
      <c r="G28">
        <v>26</v>
      </c>
      <c r="H28">
        <v>58</v>
      </c>
      <c r="I28" t="s">
        <v>28</v>
      </c>
    </row>
    <row r="29" spans="1:9" x14ac:dyDescent="0.25">
      <c r="A29" t="s">
        <v>10</v>
      </c>
      <c r="B29">
        <v>27</v>
      </c>
      <c r="C29">
        <v>29</v>
      </c>
      <c r="F29" t="s">
        <v>0</v>
      </c>
      <c r="G29">
        <v>27</v>
      </c>
      <c r="H29">
        <v>59</v>
      </c>
      <c r="I29" t="s">
        <v>29</v>
      </c>
    </row>
    <row r="30" spans="1:9" x14ac:dyDescent="0.25">
      <c r="A30" t="s">
        <v>10</v>
      </c>
      <c r="B30">
        <v>28</v>
      </c>
      <c r="C30">
        <v>30</v>
      </c>
      <c r="F30" t="s">
        <v>0</v>
      </c>
      <c r="G30">
        <v>28</v>
      </c>
      <c r="H30">
        <v>60</v>
      </c>
      <c r="I30" t="s">
        <v>32</v>
      </c>
    </row>
    <row r="31" spans="1:9" x14ac:dyDescent="0.25">
      <c r="A31" t="s">
        <v>10</v>
      </c>
      <c r="B31">
        <v>29</v>
      </c>
      <c r="C31">
        <v>31</v>
      </c>
      <c r="F31" t="s">
        <v>0</v>
      </c>
      <c r="G31">
        <v>29</v>
      </c>
      <c r="H31">
        <v>61</v>
      </c>
      <c r="I31" t="s">
        <v>31</v>
      </c>
    </row>
  </sheetData>
  <mergeCells count="2">
    <mergeCell ref="A1:B1"/>
    <mergeCell ref="F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 Bytes</vt:lpstr>
      <vt:lpstr>30 Bytes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Cristiane Coletti</dc:creator>
  <cp:lastModifiedBy>Cristiane Coletti</cp:lastModifiedBy>
  <dcterms:created xsi:type="dcterms:W3CDTF">2026-09-23T19:53:50Z</dcterms:created>
  <dcterms:modified xsi:type="dcterms:W3CDTF">2026-10-13T14:28:46Z</dcterms:modified>
</cp:coreProperties>
</file>